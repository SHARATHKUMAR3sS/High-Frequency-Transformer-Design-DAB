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KAM LAXMAN\Downloads\"/>
    </mc:Choice>
  </mc:AlternateContent>
  <xr:revisionPtr revIDLastSave="0" documentId="13_ncr:1_{4E869AE8-5C0E-4977-BB0C-F9E6033A8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SE Waveform Tool" sheetId="1" r:id="rId1"/>
  </sheets>
  <calcPr calcId="191029"/>
</workbook>
</file>

<file path=xl/calcChain.xml><?xml version="1.0" encoding="utf-8"?>
<calcChain xmlns="http://schemas.openxmlformats.org/spreadsheetml/2006/main">
  <c r="D18" i="1" l="1"/>
  <c r="D16" i="1"/>
  <c r="D15" i="1"/>
  <c r="D17" i="1" s="1"/>
  <c r="D21" i="1" s="1"/>
</calcChain>
</file>

<file path=xl/sharedStrings.xml><?xml version="1.0" encoding="utf-8"?>
<sst xmlns="http://schemas.openxmlformats.org/spreadsheetml/2006/main" count="52" uniqueCount="45">
  <si>
    <t>iGSE Loss Tool: Multi-Waveform Support</t>
  </si>
  <si>
    <t>SELECT WAVEFORM TYPE:</t>
  </si>
  <si>
    <t>Standard Square</t>
  </si>
  <si>
    <t>Parameter</t>
  </si>
  <si>
    <t>Symbol</t>
  </si>
  <si>
    <t>Value</t>
  </si>
  <si>
    <t>Unit</t>
  </si>
  <si>
    <t>Description</t>
  </si>
  <si>
    <t>Steinmetz Alpha</t>
  </si>
  <si>
    <t>alpha</t>
  </si>
  <si>
    <t>-</t>
  </si>
  <si>
    <t>Frequency exponent</t>
  </si>
  <si>
    <t>Steinmetz Beta</t>
  </si>
  <si>
    <t>beta</t>
  </si>
  <si>
    <t>Flux density exponent</t>
  </si>
  <si>
    <t>Steinmetz Coeff (k)</t>
  </si>
  <si>
    <t>k</t>
  </si>
  <si>
    <t>kW/m³</t>
  </si>
  <si>
    <t>Datasheet k</t>
  </si>
  <si>
    <t>Frequency</t>
  </si>
  <si>
    <t>f</t>
  </si>
  <si>
    <t>Hz</t>
  </si>
  <si>
    <t>Excitation frequency in Hz</t>
  </si>
  <si>
    <t>Peak Flux Density</t>
  </si>
  <si>
    <t>Bm</t>
  </si>
  <si>
    <t>Tesla</t>
  </si>
  <si>
    <t>Peak magnetic flux density</t>
  </si>
  <si>
    <t>Duty Cycle (D)</t>
  </si>
  <si>
    <t>D</t>
  </si>
  <si>
    <t>Active pulse duty cycle (0-0.5)</t>
  </si>
  <si>
    <t>Intermediate Calculations</t>
  </si>
  <si>
    <t>Equivalent k (keq)</t>
  </si>
  <si>
    <t>keq</t>
  </si>
  <si>
    <t>k adjusted for Hz</t>
  </si>
  <si>
    <t>Integral (I)</t>
  </si>
  <si>
    <t>I</t>
  </si>
  <si>
    <t>iGSE Integral</t>
  </si>
  <si>
    <t>Constant ki</t>
  </si>
  <si>
    <t>ki</t>
  </si>
  <si>
    <t>Derived iGSE Constant</t>
  </si>
  <si>
    <t>delta B</t>
  </si>
  <si>
    <t>deltaB</t>
  </si>
  <si>
    <t>Peak-to-peak flux</t>
  </si>
  <si>
    <t>Core Loss Density (Pv)</t>
  </si>
  <si>
    <t>Loss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</si>
</sst>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/>
    <xf numFmtId="0" fontId="3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tabSelected="1" workbookViewId="0">
      <selection activeCell="D4" sqref="D4"/>
    </sheetView>
  </sheetViews>
  <sheetFormatPr defaultRowHeight="14.4" x14ac:dyDescent="0.3"/>
  <cols>
    <col min="2" max="2" width="25" customWidth="1"/>
    <col min="3" max="3" width="10" customWidth="1"/>
    <col min="4" max="4" width="25" customWidth="1"/>
    <col min="5" max="5" width="15" customWidth="1"/>
    <col min="6" max="6" width="40" customWidth="1"/>
  </cols>
  <sheetData>
    <row r="2" spans="2:6" ht="18" x14ac:dyDescent="0.35">
      <c r="B2" s="6" t="s">
        <v>0</v>
      </c>
      <c r="C2" s="7"/>
      <c r="D2" s="7"/>
      <c r="E2" s="7"/>
      <c r="F2" s="7"/>
    </row>
    <row r="4" spans="2:6" x14ac:dyDescent="0.3">
      <c r="B4" s="1" t="s">
        <v>1</v>
      </c>
      <c r="D4" s="2" t="s">
        <v>2</v>
      </c>
    </row>
    <row r="6" spans="2:6" ht="15.6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2:6" x14ac:dyDescent="0.3">
      <c r="B7" s="4" t="s">
        <v>8</v>
      </c>
      <c r="C7" s="4" t="s">
        <v>9</v>
      </c>
      <c r="D7" s="2">
        <v>1.45</v>
      </c>
      <c r="E7" s="4" t="s">
        <v>10</v>
      </c>
      <c r="F7" s="4" t="s">
        <v>11</v>
      </c>
    </row>
    <row r="8" spans="2:6" x14ac:dyDescent="0.3">
      <c r="B8" s="4" t="s">
        <v>12</v>
      </c>
      <c r="C8" s="4" t="s">
        <v>13</v>
      </c>
      <c r="D8" s="2">
        <v>2.8</v>
      </c>
      <c r="E8" s="4" t="s">
        <v>10</v>
      </c>
      <c r="F8" s="4" t="s">
        <v>14</v>
      </c>
    </row>
    <row r="9" spans="2:6" x14ac:dyDescent="0.3">
      <c r="B9" s="4" t="s">
        <v>15</v>
      </c>
      <c r="C9" s="4" t="s">
        <v>16</v>
      </c>
      <c r="D9" s="2">
        <v>42.774000000000001</v>
      </c>
      <c r="E9" s="4" t="s">
        <v>17</v>
      </c>
      <c r="F9" s="4" t="s">
        <v>18</v>
      </c>
    </row>
    <row r="10" spans="2:6" x14ac:dyDescent="0.3">
      <c r="B10" s="4" t="s">
        <v>19</v>
      </c>
      <c r="C10" s="4" t="s">
        <v>20</v>
      </c>
      <c r="D10" s="2">
        <v>100000</v>
      </c>
      <c r="E10" s="4" t="s">
        <v>21</v>
      </c>
      <c r="F10" s="4" t="s">
        <v>22</v>
      </c>
    </row>
    <row r="11" spans="2:6" x14ac:dyDescent="0.3">
      <c r="B11" s="4" t="s">
        <v>23</v>
      </c>
      <c r="C11" s="4" t="s">
        <v>24</v>
      </c>
      <c r="D11" s="2">
        <v>0.2</v>
      </c>
      <c r="E11" s="4" t="s">
        <v>25</v>
      </c>
      <c r="F11" s="4" t="s">
        <v>26</v>
      </c>
    </row>
    <row r="12" spans="2:6" x14ac:dyDescent="0.3">
      <c r="B12" s="4" t="s">
        <v>27</v>
      </c>
      <c r="C12" s="4" t="s">
        <v>28</v>
      </c>
      <c r="D12" s="2">
        <v>0.5</v>
      </c>
      <c r="E12" s="4" t="s">
        <v>10</v>
      </c>
      <c r="F12" s="4" t="s">
        <v>29</v>
      </c>
    </row>
    <row r="14" spans="2:6" x14ac:dyDescent="0.3">
      <c r="B14" s="1" t="s">
        <v>30</v>
      </c>
    </row>
    <row r="15" spans="2:6" x14ac:dyDescent="0.3">
      <c r="B15" s="4" t="s">
        <v>31</v>
      </c>
      <c r="C15" s="4" t="s">
        <v>32</v>
      </c>
      <c r="D15" s="4">
        <f>D9 * (1000^(-D7))</f>
        <v>1.9106443970665309E-3</v>
      </c>
      <c r="E15" s="4" t="s">
        <v>10</v>
      </c>
      <c r="F15" s="4" t="s">
        <v>33</v>
      </c>
    </row>
    <row r="16" spans="2:6" x14ac:dyDescent="0.3">
      <c r="B16" s="4" t="s">
        <v>34</v>
      </c>
      <c r="C16" s="4" t="s">
        <v>35</v>
      </c>
      <c r="D16" s="4">
        <f>2*SQRT(PI())*EXP(GAMMALN((D7+1)/2)-GAMMALN((D7+2)/2))</f>
        <v>3.5383197532420847</v>
      </c>
      <c r="E16" s="4" t="s">
        <v>10</v>
      </c>
      <c r="F16" s="4" t="s">
        <v>36</v>
      </c>
    </row>
    <row r="17" spans="2:6" x14ac:dyDescent="0.3">
      <c r="B17" s="4" t="s">
        <v>37</v>
      </c>
      <c r="C17" s="4" t="s">
        <v>38</v>
      </c>
      <c r="D17" s="4">
        <f>D15 / ((2*PI())^(D7-1) * 2^(D8-D7) * D16)</f>
        <v>9.2642731887352588E-5</v>
      </c>
      <c r="E17" s="4" t="s">
        <v>10</v>
      </c>
      <c r="F17" s="4" t="s">
        <v>39</v>
      </c>
    </row>
    <row r="18" spans="2:6" x14ac:dyDescent="0.3">
      <c r="B18" s="4" t="s">
        <v>40</v>
      </c>
      <c r="C18" s="4" t="s">
        <v>41</v>
      </c>
      <c r="D18" s="4">
        <f>2*D11</f>
        <v>0.4</v>
      </c>
      <c r="E18" s="4" t="s">
        <v>25</v>
      </c>
      <c r="F18" s="4" t="s">
        <v>42</v>
      </c>
    </row>
    <row r="20" spans="2:6" x14ac:dyDescent="0.3">
      <c r="B20" s="1" t="s">
        <v>43</v>
      </c>
    </row>
    <row r="21" spans="2:6" x14ac:dyDescent="0.3">
      <c r="B21" s="4" t="s">
        <v>44</v>
      </c>
      <c r="C21" s="4" t="s">
        <v>17</v>
      </c>
      <c r="D21" s="5">
        <f>IF(D4="Standard Square", D17 * D18^(D8-D7) * (D18*D10)^D7 * (D12^(1-D7) + (1-D12)^(1-D7)), D17 * D18^(D8-D7) * (D18*D10)^D7 * (2 * D12^(1-D7)))</f>
        <v>345.9973899325131</v>
      </c>
    </row>
  </sheetData>
  <mergeCells count="1">
    <mergeCell ref="B2:F2"/>
  </mergeCells>
  <dataValidations count="1">
    <dataValidation type="list" sqref="D4" xr:uid="{00000000-0002-0000-0000-000000000000}">
      <formula1>"Standard Square,Quasi-Square/PWM"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iGSE Waveform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RAMYASRI BAKAM</cp:lastModifiedBy>
  <dcterms:created xsi:type="dcterms:W3CDTF">2026-05-12T18:48:51Z</dcterms:created>
  <dcterms:modified xsi:type="dcterms:W3CDTF">2026-05-16T07:46:36Z</dcterms:modified>
</cp:coreProperties>
</file>